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lackok_live" sheetId="1" r:id="rId5"/>
    <sheet state="visible" name="Eredmények" sheetId="2" r:id="rId6"/>
    <sheet state="visible" name="tenyleges_visszavaltas" sheetId="3" r:id="rId7"/>
    <sheet state="visible" name="Munkalap2" sheetId="4" r:id="rId8"/>
  </sheets>
  <definedNames/>
  <calcPr/>
</workbook>
</file>

<file path=xl/sharedStrings.xml><?xml version="1.0" encoding="utf-8"?>
<sst xmlns="http://schemas.openxmlformats.org/spreadsheetml/2006/main" count="52" uniqueCount="44">
  <si>
    <t>Osztály</t>
  </si>
  <si>
    <t>Létszám</t>
  </si>
  <si>
    <t>Palack</t>
  </si>
  <si>
    <t>Palack / Fő</t>
  </si>
  <si>
    <t>Hely (király)</t>
  </si>
  <si>
    <t>Hely (hős)</t>
  </si>
  <si>
    <t>13.A</t>
  </si>
  <si>
    <t>Időbélyeg</t>
  </si>
  <si>
    <t>Név</t>
  </si>
  <si>
    <t>Mekkora értékben váltott vissza? (Ft)</t>
  </si>
  <si>
    <t>Darabszám</t>
  </si>
  <si>
    <t>13.B</t>
  </si>
  <si>
    <t>E-mail-cím</t>
  </si>
  <si>
    <t>13.C</t>
  </si>
  <si>
    <t>Heizer Marcell</t>
  </si>
  <si>
    <t>Gipsz Jakab</t>
  </si>
  <si>
    <t>10.C</t>
  </si>
  <si>
    <t>22c-heizer@ipari.vein.hu</t>
  </si>
  <si>
    <t>13.D</t>
  </si>
  <si>
    <t>13.E</t>
  </si>
  <si>
    <t>13.G</t>
  </si>
  <si>
    <t>12.A</t>
  </si>
  <si>
    <t>12.B</t>
  </si>
  <si>
    <t>12.C</t>
  </si>
  <si>
    <t>12.D</t>
  </si>
  <si>
    <t>12.E</t>
  </si>
  <si>
    <t>12.G</t>
  </si>
  <si>
    <t>11.A</t>
  </si>
  <si>
    <t>11.B</t>
  </si>
  <si>
    <t>11.C</t>
  </si>
  <si>
    <t>11.D</t>
  </si>
  <si>
    <t>11.E</t>
  </si>
  <si>
    <t>11.G</t>
  </si>
  <si>
    <t>10.A</t>
  </si>
  <si>
    <t>10.D</t>
  </si>
  <si>
    <t>10.E</t>
  </si>
  <si>
    <t>10.F</t>
  </si>
  <si>
    <t>10.G</t>
  </si>
  <si>
    <t>9.A</t>
  </si>
  <si>
    <t>9.B</t>
  </si>
  <si>
    <t>9.C</t>
  </si>
  <si>
    <t>9.D</t>
  </si>
  <si>
    <t>9.E</t>
  </si>
  <si>
    <t>9.G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</si>
</sst>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tenyleges_visszaval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lackok_liv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9" displayName="Form_Responses" name="Form_Responses" id="2">
  <tableColumns count="5">
    <tableColumn name="Időbélyeg" id="1"/>
    <tableColumn name="Név" id="2"/>
    <tableColumn name="Osztály" id="3"/>
    <tableColumn name="Darabszám" id="4"/>
    <tableColumn name="E-mail-cím" id="5"/>
  </tableColumns>
  <tableStyleInfo name="palackok_live-style" showColumnStripes="0" showFirstColumn="1" showLastColumn="1" showRowStripes="1"/>
</table>
</file>

<file path=xl/tables/table2.xml><?xml version="1.0" encoding="utf-8"?>
<table xmlns="http://schemas.openxmlformats.org/spreadsheetml/2006/main" headerRowCount="0" ref="A1:B1" displayName="Form_Responses2" name="Form_Responses2" id="1">
  <tableColumns count="2">
    <tableColumn name="Column1" id="1"/>
    <tableColumn name="Column2" id="2"/>
  </tableColumns>
  <tableStyleInfo name="tenyleges_visszavalt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3" t="s">
        <v>7</v>
      </c>
      <c r="B1" s="3" t="s">
        <v>8</v>
      </c>
      <c r="C1" s="3" t="s">
        <v>0</v>
      </c>
      <c r="D1" s="3" t="s">
        <v>10</v>
      </c>
      <c r="E1" s="4" t="s">
        <v>12</v>
      </c>
    </row>
    <row r="2" ht="22.5" customHeight="1">
      <c r="A2" s="5"/>
      <c r="B2" s="6"/>
      <c r="C2" s="6"/>
      <c r="D2" s="6"/>
      <c r="E2" s="7"/>
    </row>
    <row r="3" ht="22.5" customHeight="1">
      <c r="A3" s="8"/>
    </row>
    <row r="4" ht="22.5" customHeight="1">
      <c r="A4" s="8"/>
    </row>
    <row r="5" ht="22.5" customHeight="1">
      <c r="A5" s="8"/>
    </row>
    <row r="6" ht="22.5" customHeight="1">
      <c r="A6" s="8"/>
    </row>
    <row r="7" ht="22.5" customHeight="1">
      <c r="A7" s="8"/>
    </row>
    <row r="8" ht="22.5" customHeight="1">
      <c r="A8" s="8"/>
    </row>
    <row r="9" ht="22.5" customHeight="1">
      <c r="A9" s="8"/>
    </row>
    <row r="10" ht="22.5" customHeight="1">
      <c r="A10" s="8"/>
    </row>
    <row r="11" ht="22.5" customHeight="1">
      <c r="A11" s="8"/>
    </row>
    <row r="12" ht="22.5" customHeight="1">
      <c r="A12" s="8"/>
    </row>
    <row r="13" ht="22.5" customHeight="1">
      <c r="A13" s="8"/>
    </row>
    <row r="14" ht="22.5" customHeight="1">
      <c r="A14" s="8"/>
    </row>
    <row r="15" ht="22.5" customHeight="1">
      <c r="A15" s="8"/>
    </row>
    <row r="16" ht="22.5" customHeight="1">
      <c r="A16" s="8">
        <v>46288.567194814816</v>
      </c>
      <c r="B16" s="9" t="s">
        <v>14</v>
      </c>
      <c r="C16" s="9" t="s">
        <v>13</v>
      </c>
      <c r="D16" s="9">
        <v>1.0</v>
      </c>
      <c r="E16" s="10"/>
    </row>
    <row r="17" ht="22.5" customHeight="1">
      <c r="A17" s="8">
        <v>46288.5767662963</v>
      </c>
      <c r="B17" s="9" t="s">
        <v>14</v>
      </c>
      <c r="C17" s="9" t="s">
        <v>13</v>
      </c>
      <c r="D17" s="9">
        <v>2.0</v>
      </c>
      <c r="E17" s="10"/>
    </row>
    <row r="18" ht="22.5" customHeight="1">
      <c r="A18" s="8">
        <v>46289.50782479167</v>
      </c>
      <c r="B18" s="9" t="s">
        <v>15</v>
      </c>
      <c r="C18" s="9" t="s">
        <v>16</v>
      </c>
      <c r="D18" s="9">
        <v>10.0</v>
      </c>
      <c r="E18" s="10"/>
    </row>
    <row r="19" ht="22.5" customHeight="1">
      <c r="A19" s="8">
        <v>46290.38429545139</v>
      </c>
      <c r="B19" s="9" t="s">
        <v>14</v>
      </c>
      <c r="C19" s="9" t="s">
        <v>13</v>
      </c>
      <c r="D19" s="9">
        <v>1.0</v>
      </c>
      <c r="E19" s="9" t="s">
        <v>17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26.0</v>
      </c>
      <c r="C2" s="2">
        <f>SUMIF(palackok_live!C:C,A2,palackok_live!D:D)</f>
        <v>0</v>
      </c>
      <c r="D2" s="1">
        <f t="shared" ref="D2:D31" si="1">IF(B2=0,0,ROUND(C2/B2,2))</f>
        <v>0</v>
      </c>
      <c r="E2" s="2">
        <f t="shared" ref="E2:E31" si="2">RANK(C2,$C$2:$C$100)</f>
        <v>3</v>
      </c>
      <c r="F2" s="2">
        <f t="shared" ref="F2:F31" si="3">RANK(D2,$D$2:$D$100)</f>
        <v>3</v>
      </c>
    </row>
    <row r="3">
      <c r="A3" s="1" t="s">
        <v>11</v>
      </c>
      <c r="B3" s="1">
        <v>22.0</v>
      </c>
      <c r="C3" s="2">
        <f>SUMIF(palackok_live!C:C,A3,palackok_live!D:D)</f>
        <v>0</v>
      </c>
      <c r="D3" s="1">
        <f t="shared" si="1"/>
        <v>0</v>
      </c>
      <c r="E3" s="2">
        <f t="shared" si="2"/>
        <v>3</v>
      </c>
      <c r="F3" s="2">
        <f t="shared" si="3"/>
        <v>3</v>
      </c>
    </row>
    <row r="4">
      <c r="A4" s="1" t="s">
        <v>13</v>
      </c>
      <c r="B4" s="1">
        <v>30.0</v>
      </c>
      <c r="C4" s="2">
        <f>SUMIF(palackok_live!C:C,A4,palackok_live!D:D)</f>
        <v>4</v>
      </c>
      <c r="D4" s="1">
        <f t="shared" si="1"/>
        <v>0.13</v>
      </c>
      <c r="E4" s="2">
        <f t="shared" si="2"/>
        <v>2</v>
      </c>
      <c r="F4" s="2">
        <f t="shared" si="3"/>
        <v>2</v>
      </c>
    </row>
    <row r="5">
      <c r="A5" s="1" t="s">
        <v>18</v>
      </c>
      <c r="B5" s="1">
        <v>30.0</v>
      </c>
      <c r="C5" s="2">
        <f>SUMIF(palackok_live!C:C,A5,palackok_live!D:D)</f>
        <v>0</v>
      </c>
      <c r="D5" s="1">
        <f t="shared" si="1"/>
        <v>0</v>
      </c>
      <c r="E5" s="2">
        <f t="shared" si="2"/>
        <v>3</v>
      </c>
      <c r="F5" s="2">
        <f t="shared" si="3"/>
        <v>3</v>
      </c>
    </row>
    <row r="6">
      <c r="A6" s="1" t="s">
        <v>19</v>
      </c>
      <c r="B6" s="1">
        <v>29.0</v>
      </c>
      <c r="C6" s="2">
        <f>SUMIF(palackok_live!C:C,A6,palackok_live!D:D)</f>
        <v>0</v>
      </c>
      <c r="D6" s="1">
        <f t="shared" si="1"/>
        <v>0</v>
      </c>
      <c r="E6" s="2">
        <f t="shared" si="2"/>
        <v>3</v>
      </c>
      <c r="F6" s="2">
        <f t="shared" si="3"/>
        <v>3</v>
      </c>
    </row>
    <row r="7">
      <c r="A7" s="1" t="s">
        <v>20</v>
      </c>
      <c r="B7" s="1">
        <v>29.0</v>
      </c>
      <c r="C7" s="2">
        <f>SUMIF(palackok_live!C:C,A7,palackok_live!D:D)</f>
        <v>0</v>
      </c>
      <c r="D7" s="1">
        <f t="shared" si="1"/>
        <v>0</v>
      </c>
      <c r="E7" s="2">
        <f t="shared" si="2"/>
        <v>3</v>
      </c>
      <c r="F7" s="2">
        <f t="shared" si="3"/>
        <v>3</v>
      </c>
    </row>
    <row r="8">
      <c r="A8" s="1" t="s">
        <v>21</v>
      </c>
      <c r="B8" s="1">
        <v>23.0</v>
      </c>
      <c r="C8" s="2">
        <f>SUMIF(palackok_live!C:C,A8,palackok_live!D:D)</f>
        <v>0</v>
      </c>
      <c r="D8" s="1">
        <f t="shared" si="1"/>
        <v>0</v>
      </c>
      <c r="E8" s="2">
        <f t="shared" si="2"/>
        <v>3</v>
      </c>
      <c r="F8" s="2">
        <f t="shared" si="3"/>
        <v>3</v>
      </c>
    </row>
    <row r="9">
      <c r="A9" s="1" t="s">
        <v>22</v>
      </c>
      <c r="B9" s="1">
        <v>26.0</v>
      </c>
      <c r="C9" s="2">
        <f>SUMIF(palackok_live!C:C,A9,palackok_live!D:D)</f>
        <v>0</v>
      </c>
      <c r="D9" s="1">
        <f t="shared" si="1"/>
        <v>0</v>
      </c>
      <c r="E9" s="2">
        <f t="shared" si="2"/>
        <v>3</v>
      </c>
      <c r="F9" s="2">
        <f t="shared" si="3"/>
        <v>3</v>
      </c>
    </row>
    <row r="10">
      <c r="A10" s="1" t="s">
        <v>23</v>
      </c>
      <c r="B10" s="1">
        <v>26.0</v>
      </c>
      <c r="C10" s="2">
        <f>SUMIF(palackok_live!C:C,A10,palackok_live!D:D)</f>
        <v>0</v>
      </c>
      <c r="D10" s="1">
        <f t="shared" si="1"/>
        <v>0</v>
      </c>
      <c r="E10" s="2">
        <f t="shared" si="2"/>
        <v>3</v>
      </c>
      <c r="F10" s="2">
        <f t="shared" si="3"/>
        <v>3</v>
      </c>
    </row>
    <row r="11">
      <c r="A11" s="1" t="s">
        <v>24</v>
      </c>
      <c r="B11" s="1">
        <v>30.0</v>
      </c>
      <c r="C11" s="2">
        <f>SUMIF(palackok_live!C:C,A11,palackok_live!D:D)</f>
        <v>0</v>
      </c>
      <c r="D11" s="1">
        <f t="shared" si="1"/>
        <v>0</v>
      </c>
      <c r="E11" s="2">
        <f t="shared" si="2"/>
        <v>3</v>
      </c>
      <c r="F11" s="2">
        <f t="shared" si="3"/>
        <v>3</v>
      </c>
    </row>
    <row r="12">
      <c r="A12" s="1" t="s">
        <v>25</v>
      </c>
      <c r="B12" s="1">
        <v>30.0</v>
      </c>
      <c r="C12" s="2">
        <f>SUMIF(palackok_live!C:C,A12,palackok_live!D:D)</f>
        <v>0</v>
      </c>
      <c r="D12" s="1">
        <f t="shared" si="1"/>
        <v>0</v>
      </c>
      <c r="E12" s="2">
        <f t="shared" si="2"/>
        <v>3</v>
      </c>
      <c r="F12" s="2">
        <f t="shared" si="3"/>
        <v>3</v>
      </c>
    </row>
    <row r="13">
      <c r="A13" s="1" t="s">
        <v>26</v>
      </c>
      <c r="B13" s="1">
        <v>24.0</v>
      </c>
      <c r="C13" s="2">
        <f>SUMIF(palackok_live!C:C,A13,palackok_live!D:D)</f>
        <v>0</v>
      </c>
      <c r="D13" s="1">
        <f t="shared" si="1"/>
        <v>0</v>
      </c>
      <c r="E13" s="2">
        <f t="shared" si="2"/>
        <v>3</v>
      </c>
      <c r="F13" s="2">
        <f t="shared" si="3"/>
        <v>3</v>
      </c>
    </row>
    <row r="14">
      <c r="A14" s="1" t="s">
        <v>27</v>
      </c>
      <c r="B14" s="1">
        <v>30.0</v>
      </c>
      <c r="C14" s="2">
        <f>SUMIF(palackok_live!C:C,A14,palackok_live!D:D)</f>
        <v>0</v>
      </c>
      <c r="D14" s="1">
        <f t="shared" si="1"/>
        <v>0</v>
      </c>
      <c r="E14" s="2">
        <f t="shared" si="2"/>
        <v>3</v>
      </c>
      <c r="F14" s="2">
        <f t="shared" si="3"/>
        <v>3</v>
      </c>
    </row>
    <row r="15">
      <c r="A15" s="1" t="s">
        <v>28</v>
      </c>
      <c r="B15" s="1">
        <v>25.0</v>
      </c>
      <c r="C15" s="2">
        <f>SUMIF(palackok_live!C:C,A15,palackok_live!D:D)</f>
        <v>0</v>
      </c>
      <c r="D15" s="1">
        <f t="shared" si="1"/>
        <v>0</v>
      </c>
      <c r="E15" s="2">
        <f t="shared" si="2"/>
        <v>3</v>
      </c>
      <c r="F15" s="2">
        <f t="shared" si="3"/>
        <v>3</v>
      </c>
    </row>
    <row r="16">
      <c r="A16" s="1" t="s">
        <v>29</v>
      </c>
      <c r="B16" s="1">
        <v>29.0</v>
      </c>
      <c r="C16" s="2">
        <f>SUMIF(palackok_live!C:C,A16,palackok_live!D:D)</f>
        <v>0</v>
      </c>
      <c r="D16" s="1">
        <f t="shared" si="1"/>
        <v>0</v>
      </c>
      <c r="E16" s="2">
        <f t="shared" si="2"/>
        <v>3</v>
      </c>
      <c r="F16" s="2">
        <f t="shared" si="3"/>
        <v>3</v>
      </c>
    </row>
    <row r="17">
      <c r="A17" s="1" t="s">
        <v>30</v>
      </c>
      <c r="B17" s="1">
        <v>28.0</v>
      </c>
      <c r="C17" s="2">
        <f>SUMIF(palackok_live!C:C,A17,palackok_live!D:D)</f>
        <v>0</v>
      </c>
      <c r="D17" s="1">
        <f t="shared" si="1"/>
        <v>0</v>
      </c>
      <c r="E17" s="2">
        <f t="shared" si="2"/>
        <v>3</v>
      </c>
      <c r="F17" s="2">
        <f t="shared" si="3"/>
        <v>3</v>
      </c>
    </row>
    <row r="18">
      <c r="A18" s="1" t="s">
        <v>31</v>
      </c>
      <c r="B18" s="1">
        <v>32.0</v>
      </c>
      <c r="C18" s="2">
        <f>SUMIF(palackok_live!C:C,A18,palackok_live!D:D)</f>
        <v>0</v>
      </c>
      <c r="D18" s="1">
        <f t="shared" si="1"/>
        <v>0</v>
      </c>
      <c r="E18" s="2">
        <f t="shared" si="2"/>
        <v>3</v>
      </c>
      <c r="F18" s="2">
        <f t="shared" si="3"/>
        <v>3</v>
      </c>
    </row>
    <row r="19">
      <c r="A19" s="1" t="s">
        <v>32</v>
      </c>
      <c r="B19" s="1">
        <v>23.0</v>
      </c>
      <c r="C19" s="2">
        <f>SUMIF(palackok_live!C:C,A19,palackok_live!D:D)</f>
        <v>0</v>
      </c>
      <c r="D19" s="1">
        <f t="shared" si="1"/>
        <v>0</v>
      </c>
      <c r="E19" s="2">
        <f t="shared" si="2"/>
        <v>3</v>
      </c>
      <c r="F19" s="2">
        <f t="shared" si="3"/>
        <v>3</v>
      </c>
    </row>
    <row r="20">
      <c r="A20" s="1" t="s">
        <v>33</v>
      </c>
      <c r="B20" s="1">
        <v>25.0</v>
      </c>
      <c r="C20" s="2">
        <f>SUMIF(palackok_live!C:C,A20,palackok_live!D:D)</f>
        <v>0</v>
      </c>
      <c r="D20" s="1">
        <f t="shared" si="1"/>
        <v>0</v>
      </c>
      <c r="E20" s="2">
        <f t="shared" si="2"/>
        <v>3</v>
      </c>
      <c r="F20" s="2">
        <f t="shared" si="3"/>
        <v>3</v>
      </c>
    </row>
    <row r="21">
      <c r="A21" s="1" t="s">
        <v>16</v>
      </c>
      <c r="B21" s="1">
        <v>29.0</v>
      </c>
      <c r="C21" s="2">
        <f>SUMIF(palackok_live!C:C,A21,palackok_live!D:D)</f>
        <v>10</v>
      </c>
      <c r="D21" s="1">
        <f t="shared" si="1"/>
        <v>0.34</v>
      </c>
      <c r="E21" s="2">
        <f t="shared" si="2"/>
        <v>1</v>
      </c>
      <c r="F21" s="2">
        <f t="shared" si="3"/>
        <v>1</v>
      </c>
    </row>
    <row r="22">
      <c r="A22" s="1" t="s">
        <v>34</v>
      </c>
      <c r="B22" s="1">
        <v>25.0</v>
      </c>
      <c r="C22" s="2">
        <f>SUMIF(palackok_live!C:C,A22,palackok_live!D:D)</f>
        <v>0</v>
      </c>
      <c r="D22" s="1">
        <f t="shared" si="1"/>
        <v>0</v>
      </c>
      <c r="E22" s="2">
        <f t="shared" si="2"/>
        <v>3</v>
      </c>
      <c r="F22" s="2">
        <f t="shared" si="3"/>
        <v>3</v>
      </c>
    </row>
    <row r="23">
      <c r="A23" s="1" t="s">
        <v>35</v>
      </c>
      <c r="B23" s="1">
        <v>29.0</v>
      </c>
      <c r="C23" s="2">
        <f>SUMIF(palackok_live!C:C,A23,palackok_live!D:D)</f>
        <v>0</v>
      </c>
      <c r="D23" s="1">
        <f t="shared" si="1"/>
        <v>0</v>
      </c>
      <c r="E23" s="2">
        <f t="shared" si="2"/>
        <v>3</v>
      </c>
      <c r="F23" s="2">
        <f t="shared" si="3"/>
        <v>3</v>
      </c>
    </row>
    <row r="24">
      <c r="A24" s="1" t="s">
        <v>36</v>
      </c>
      <c r="B24" s="1">
        <v>25.0</v>
      </c>
      <c r="C24" s="2">
        <f>SUMIF(palackok_live!C:C,A24,palackok_live!D:D)</f>
        <v>0</v>
      </c>
      <c r="D24" s="1">
        <f t="shared" si="1"/>
        <v>0</v>
      </c>
      <c r="E24" s="2">
        <f t="shared" si="2"/>
        <v>3</v>
      </c>
      <c r="F24" s="2">
        <f t="shared" si="3"/>
        <v>3</v>
      </c>
    </row>
    <row r="25">
      <c r="A25" s="1" t="s">
        <v>37</v>
      </c>
      <c r="B25" s="1">
        <v>24.0</v>
      </c>
      <c r="C25" s="2">
        <f>SUMIF(palackok_live!C:C,A25,palackok_live!D:D)</f>
        <v>0</v>
      </c>
      <c r="D25" s="1">
        <f t="shared" si="1"/>
        <v>0</v>
      </c>
      <c r="E25" s="2">
        <f t="shared" si="2"/>
        <v>3</v>
      </c>
      <c r="F25" s="2">
        <f t="shared" si="3"/>
        <v>3</v>
      </c>
    </row>
    <row r="26">
      <c r="A26" s="1" t="s">
        <v>38</v>
      </c>
      <c r="B26" s="1">
        <v>25.0</v>
      </c>
      <c r="C26" s="2">
        <f>SUMIF(palackok_live!C:C,A26,palackok_live!D:D)</f>
        <v>0</v>
      </c>
      <c r="D26" s="1">
        <f t="shared" si="1"/>
        <v>0</v>
      </c>
      <c r="E26" s="2">
        <f t="shared" si="2"/>
        <v>3</v>
      </c>
      <c r="F26" s="2">
        <f t="shared" si="3"/>
        <v>3</v>
      </c>
    </row>
    <row r="27">
      <c r="A27" s="1" t="s">
        <v>39</v>
      </c>
      <c r="B27" s="1">
        <v>24.0</v>
      </c>
      <c r="C27" s="2">
        <f>SUMIF(palackok_live!C:C,A27,palackok_live!D:D)</f>
        <v>0</v>
      </c>
      <c r="D27" s="1">
        <f t="shared" si="1"/>
        <v>0</v>
      </c>
      <c r="E27" s="2">
        <f t="shared" si="2"/>
        <v>3</v>
      </c>
      <c r="F27" s="2">
        <f t="shared" si="3"/>
        <v>3</v>
      </c>
    </row>
    <row r="28">
      <c r="A28" s="1" t="s">
        <v>40</v>
      </c>
      <c r="B28" s="1">
        <v>28.0</v>
      </c>
      <c r="C28" s="2">
        <f>SUMIF(palackok_live!C:C,A28,palackok_live!D:D)</f>
        <v>0</v>
      </c>
      <c r="D28" s="1">
        <f t="shared" si="1"/>
        <v>0</v>
      </c>
      <c r="E28" s="2">
        <f t="shared" si="2"/>
        <v>3</v>
      </c>
      <c r="F28" s="2">
        <f t="shared" si="3"/>
        <v>3</v>
      </c>
    </row>
    <row r="29">
      <c r="A29" s="1" t="s">
        <v>41</v>
      </c>
      <c r="B29" s="1">
        <v>29.0</v>
      </c>
      <c r="C29" s="2">
        <f>SUMIF(palackok_live!C:C,A29,palackok_live!D:D)</f>
        <v>0</v>
      </c>
      <c r="D29" s="1">
        <f t="shared" si="1"/>
        <v>0</v>
      </c>
      <c r="E29" s="2">
        <f t="shared" si="2"/>
        <v>3</v>
      </c>
      <c r="F29" s="2">
        <f t="shared" si="3"/>
        <v>3</v>
      </c>
    </row>
    <row r="30">
      <c r="A30" s="1" t="s">
        <v>42</v>
      </c>
      <c r="B30" s="1">
        <v>26.0</v>
      </c>
      <c r="C30" s="2">
        <f>SUMIF(palackok_live!C:C,A30,palackok_live!D:D)</f>
        <v>0</v>
      </c>
      <c r="D30" s="1">
        <f t="shared" si="1"/>
        <v>0</v>
      </c>
      <c r="E30" s="2">
        <f t="shared" si="2"/>
        <v>3</v>
      </c>
      <c r="F30" s="2">
        <f t="shared" si="3"/>
        <v>3</v>
      </c>
    </row>
    <row r="31">
      <c r="A31" s="1" t="s">
        <v>43</v>
      </c>
      <c r="B31" s="1">
        <v>30.0</v>
      </c>
      <c r="C31" s="2">
        <f>SUMIF(palackok_live!C:C,A31,palackok_live!D:D)</f>
        <v>0</v>
      </c>
      <c r="D31" s="1">
        <f t="shared" si="1"/>
        <v>0</v>
      </c>
      <c r="E31" s="2">
        <f t="shared" si="2"/>
        <v>3</v>
      </c>
      <c r="F31" s="2">
        <f t="shared" si="3"/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0"/>
    <col customWidth="1" min="3" max="8" width="18.88"/>
  </cols>
  <sheetData>
    <row r="1" ht="22.5" customHeight="1">
      <c r="A1" s="3" t="s">
        <v>7</v>
      </c>
      <c r="B1" s="3" t="s">
        <v>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